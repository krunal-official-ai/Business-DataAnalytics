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ariance" sheetId="1" r:id="rId5"/>
    <sheet state="visible" name="Pearson Correlation" sheetId="2" r:id="rId6"/>
    <sheet state="visible" name="Spearmans Rank Correlation" sheetId="3" r:id="rId7"/>
  </sheets>
  <definedNames/>
  <calcPr/>
</workbook>
</file>

<file path=xl/sharedStrings.xml><?xml version="1.0" encoding="utf-8"?>
<sst xmlns="http://schemas.openxmlformats.org/spreadsheetml/2006/main" count="51" uniqueCount="20">
  <si>
    <t>Study Hours (x)</t>
  </si>
  <si>
    <t>Exam Score (y)</t>
  </si>
  <si>
    <t>x̄</t>
  </si>
  <si>
    <t>Rx</t>
  </si>
  <si>
    <t>ȳ</t>
  </si>
  <si>
    <t>x-x̄</t>
  </si>
  <si>
    <t>Ry</t>
  </si>
  <si>
    <t>y-ȳ</t>
  </si>
  <si>
    <t>(x-x̄)(y-ȳ)</t>
  </si>
  <si>
    <t>(x-x̄)^2</t>
  </si>
  <si>
    <t>(y-ȳ)^2</t>
  </si>
  <si>
    <t>Sum</t>
  </si>
  <si>
    <t>n</t>
  </si>
  <si>
    <t>Sum/n-1</t>
  </si>
  <si>
    <t>n-1</t>
  </si>
  <si>
    <t>STD(X)</t>
  </si>
  <si>
    <t>COV</t>
  </si>
  <si>
    <t>STD(Y)</t>
  </si>
  <si>
    <t>CORR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</si>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</sst>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/>
    </xf>
    <xf borderId="1" fillId="0" fontId="3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horizontal="center"/>
    </xf>
    <xf borderId="1" fillId="5" fontId="1" numFmtId="0" xfId="0" applyBorder="1" applyFill="1" applyFont="1"/>
    <xf borderId="1" fillId="5" fontId="2" numFmtId="0" xfId="0" applyBorder="1" applyFill="1" applyFont="1"/>
    <xf borderId="1" fillId="6" fontId="1" numFmtId="0" xfId="0" applyBorder="1" applyFill="1" applyFont="1"/>
    <xf borderId="1" fillId="6" fontId="3" numFmtId="0" xfId="0" applyBorder="1" applyFill="1" applyFont="1"/>
    <xf borderId="1" fillId="0" fontId="1" numFmtId="0" xfId="0" applyBorder="1" applyFont="1"/>
    <xf borderId="1" fillId="0" fontId="2" numFmtId="0" xfId="0" applyBorder="1" applyFont="1"/>
    <xf borderId="1" fillId="5" fontId="3" numFmtId="0" xfId="0" applyBorder="1" applyFill="1" applyFont="1"/>
    <xf borderId="1" fillId="7" fontId="1" numFmtId="0" xfId="0" applyBorder="1" applyFill="1" applyFont="1"/>
    <xf borderId="0" fillId="0" fontId="5" numFmtId="0" xfId="0" applyFont="1"/>
    <xf borderId="0" fillId="0" fontId="6" numFmtId="0" xfId="0" applyFont="1"/>
    <xf borderId="6" fillId="0" fontId="2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Exam Score (y) vs. Study Hours (x)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Covariance!$B$1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Covariance!$A$2:$A$6</c:f>
            </c:strRef>
          </c:cat>
          <c:val>
            <c:numRef>
              <c:f>Covariance!$B$2:$B$6</c:f>
              <c:numCache/>
            </c:numRef>
          </c:val>
          <c:smooth val="0"/>
        </c:ser>
        <c:axId val="1622627624"/>
        <c:axId val="693432242"/>
      </c:lineChart>
      <c:catAx>
        <c:axId val="1622627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Study Hours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432242"/>
      </c:catAx>
      <c:valAx>
        <c:axId val="693432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Exam Score (y)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627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9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381000</xdr:colOff>
      <xdr:row>1</xdr:row>
      <xdr:rowOff>57150</xdr:rowOff>
    </xdr:from>
    <xdr:ext cx="4752975" cy="1714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400050</xdr:colOff>
      <xdr:row>0</xdr:row>
      <xdr:rowOff>142875</xdr:rowOff>
    </xdr:from>
    <xdr:ext cx="2705100" cy="4029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0</xdr:row>
      <xdr:rowOff>142875</xdr:rowOff>
    </xdr:from>
    <xdr:ext cx="2705100" cy="46291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1.14"/>
    <col customWidth="1" min="3" max="4" width="10.14"/>
    <col customWidth="1" min="5" max="5" width="10.29"/>
    <col customWidth="1" min="6" max="6" width="9.43"/>
    <col customWidth="1" min="7" max="7" width="18.43"/>
    <col customWidth="1" min="8" max="26" width="8.71"/>
  </cols>
  <sheetData>
    <row r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8</v>
      </c>
    </row>
    <row r="2">
      <c r="A2" s="5">
        <v>2.0</v>
      </c>
      <c r="B2" s="5">
        <v>65.0</v>
      </c>
      <c r="C2" s="7">
        <f t="shared" ref="C2:D2" si="1">AVERAGE(A2:A6)</f>
        <v>6</v>
      </c>
      <c r="D2" s="7">
        <f t="shared" si="1"/>
        <v>75</v>
      </c>
      <c r="E2" s="5">
        <f t="shared" ref="E2:E6" si="2">A2-$C$2</f>
        <v>-4</v>
      </c>
      <c r="F2" s="5">
        <f t="shared" ref="F2:F6" si="3">B2-$D$2</f>
        <v>-10</v>
      </c>
      <c r="G2" s="5">
        <f t="shared" ref="G2:G6" si="4">E2*F2</f>
        <v>40</v>
      </c>
    </row>
    <row r="3">
      <c r="A3" s="5">
        <v>10.0</v>
      </c>
      <c r="B3" s="5">
        <v>85.0</v>
      </c>
      <c r="C3" s="10"/>
      <c r="D3" s="10"/>
      <c r="E3" s="5">
        <f t="shared" si="2"/>
        <v>4</v>
      </c>
      <c r="F3" s="5">
        <f t="shared" si="3"/>
        <v>10</v>
      </c>
      <c r="G3" s="5">
        <f t="shared" si="4"/>
        <v>40</v>
      </c>
    </row>
    <row r="4">
      <c r="A4" s="5">
        <v>6.0</v>
      </c>
      <c r="B4" s="5">
        <v>75.0</v>
      </c>
      <c r="C4" s="10"/>
      <c r="D4" s="10"/>
      <c r="E4" s="5">
        <f t="shared" si="2"/>
        <v>0</v>
      </c>
      <c r="F4" s="5">
        <f t="shared" si="3"/>
        <v>0</v>
      </c>
      <c r="G4" s="5">
        <f t="shared" si="4"/>
        <v>0</v>
      </c>
    </row>
    <row r="5">
      <c r="A5" s="5">
        <v>8.0</v>
      </c>
      <c r="B5" s="5">
        <v>80.0</v>
      </c>
      <c r="C5" s="10"/>
      <c r="D5" s="10"/>
      <c r="E5" s="5">
        <f t="shared" si="2"/>
        <v>2</v>
      </c>
      <c r="F5" s="5">
        <f t="shared" si="3"/>
        <v>5</v>
      </c>
      <c r="G5" s="5">
        <f t="shared" si="4"/>
        <v>10</v>
      </c>
    </row>
    <row r="6">
      <c r="A6" s="5">
        <v>4.0</v>
      </c>
      <c r="B6" s="5">
        <v>70.0</v>
      </c>
      <c r="C6" s="11"/>
      <c r="D6" s="11"/>
      <c r="E6" s="5">
        <f t="shared" si="2"/>
        <v>-2</v>
      </c>
      <c r="F6" s="5">
        <f t="shared" si="3"/>
        <v>-5</v>
      </c>
      <c r="G6" s="5">
        <f t="shared" si="4"/>
        <v>10</v>
      </c>
      <c r="I6" s="21" t="s">
        <v>19</v>
      </c>
      <c r="K6" s="22"/>
    </row>
    <row r="7">
      <c r="A7" s="23"/>
      <c r="B7" s="24"/>
      <c r="C7" s="24"/>
      <c r="D7" s="24"/>
      <c r="E7" s="24"/>
      <c r="F7" s="24"/>
      <c r="G7" s="25"/>
    </row>
    <row r="8">
      <c r="F8" s="13" t="s">
        <v>11</v>
      </c>
      <c r="G8" s="14">
        <f>SUM(G2:G6)</f>
        <v>100</v>
      </c>
    </row>
    <row r="9">
      <c r="F9" s="17" t="s">
        <v>12</v>
      </c>
      <c r="G9" s="18">
        <v>5.0</v>
      </c>
    </row>
    <row r="10">
      <c r="F10" s="13" t="s">
        <v>14</v>
      </c>
      <c r="G10" s="14">
        <f>G9-1</f>
        <v>4</v>
      </c>
      <c r="J10" s="21" t="s">
        <v>19</v>
      </c>
    </row>
    <row r="11">
      <c r="F11" s="20" t="s">
        <v>16</v>
      </c>
      <c r="G11" s="20">
        <f>G8/G10</f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2:C6"/>
    <mergeCell ref="D2:D6"/>
    <mergeCell ref="A7:G7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0"/>
    <col customWidth="1" min="3" max="6" width="8.71"/>
    <col customWidth="1" min="7" max="7" width="11.57"/>
    <col customWidth="1" min="8" max="10" width="11.86"/>
    <col customWidth="1" min="11" max="26" width="8.71"/>
  </cols>
  <sheetData>
    <row r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8</v>
      </c>
      <c r="I1" s="2" t="s">
        <v>9</v>
      </c>
      <c r="J1" s="2" t="s">
        <v>10</v>
      </c>
    </row>
    <row r="2">
      <c r="A2" s="5">
        <v>2.0</v>
      </c>
      <c r="B2" s="5">
        <v>65.0</v>
      </c>
      <c r="C2" s="7">
        <f t="shared" ref="C2:D2" si="1">AVERAGE(A2:A6)</f>
        <v>6</v>
      </c>
      <c r="D2" s="7">
        <f t="shared" si="1"/>
        <v>75</v>
      </c>
      <c r="E2" s="5">
        <f t="shared" ref="E2:E6" si="3">A2-$C$2</f>
        <v>-4</v>
      </c>
      <c r="F2" s="5">
        <f t="shared" ref="F2:F6" si="4">B2-$D$2</f>
        <v>-10</v>
      </c>
      <c r="G2" s="5">
        <f t="shared" ref="G2:G6" si="5">E2*F2</f>
        <v>40</v>
      </c>
      <c r="I2" s="5">
        <f t="shared" ref="I2:J2" si="2">E2*E2</f>
        <v>16</v>
      </c>
      <c r="J2" s="9">
        <f t="shared" si="2"/>
        <v>100</v>
      </c>
    </row>
    <row r="3">
      <c r="A3" s="5">
        <v>10.0</v>
      </c>
      <c r="B3" s="5">
        <v>85.0</v>
      </c>
      <c r="C3" s="10"/>
      <c r="D3" s="10"/>
      <c r="E3" s="5">
        <f t="shared" si="3"/>
        <v>4</v>
      </c>
      <c r="F3" s="5">
        <f t="shared" si="4"/>
        <v>10</v>
      </c>
      <c r="G3" s="5">
        <f t="shared" si="5"/>
        <v>40</v>
      </c>
      <c r="I3" s="5">
        <f t="shared" ref="I3:J3" si="6">E3*E3</f>
        <v>16</v>
      </c>
      <c r="J3" s="9">
        <f t="shared" si="6"/>
        <v>100</v>
      </c>
    </row>
    <row r="4">
      <c r="A4" s="5">
        <v>6.0</v>
      </c>
      <c r="B4" s="5">
        <v>75.0</v>
      </c>
      <c r="C4" s="10"/>
      <c r="D4" s="10"/>
      <c r="E4" s="5">
        <f t="shared" si="3"/>
        <v>0</v>
      </c>
      <c r="F4" s="5">
        <f t="shared" si="4"/>
        <v>0</v>
      </c>
      <c r="G4" s="5">
        <f t="shared" si="5"/>
        <v>0</v>
      </c>
      <c r="I4" s="5">
        <f t="shared" ref="I4:J4" si="7">E4*E4</f>
        <v>0</v>
      </c>
      <c r="J4" s="9">
        <f t="shared" si="7"/>
        <v>0</v>
      </c>
    </row>
    <row r="5">
      <c r="A5" s="5">
        <v>8.0</v>
      </c>
      <c r="B5" s="5">
        <v>80.0</v>
      </c>
      <c r="C5" s="10"/>
      <c r="D5" s="10"/>
      <c r="E5" s="5">
        <f t="shared" si="3"/>
        <v>2</v>
      </c>
      <c r="F5" s="5">
        <f t="shared" si="4"/>
        <v>5</v>
      </c>
      <c r="G5" s="5">
        <f t="shared" si="5"/>
        <v>10</v>
      </c>
      <c r="I5" s="5">
        <f t="shared" ref="I5:J5" si="8">E5*E5</f>
        <v>4</v>
      </c>
      <c r="J5" s="9">
        <f t="shared" si="8"/>
        <v>25</v>
      </c>
    </row>
    <row r="6">
      <c r="A6" s="5">
        <v>4.0</v>
      </c>
      <c r="B6" s="5">
        <v>70.0</v>
      </c>
      <c r="C6" s="11"/>
      <c r="D6" s="11"/>
      <c r="E6" s="5">
        <f t="shared" si="3"/>
        <v>-2</v>
      </c>
      <c r="F6" s="5">
        <f t="shared" si="4"/>
        <v>-5</v>
      </c>
      <c r="G6" s="5">
        <f t="shared" si="5"/>
        <v>10</v>
      </c>
      <c r="I6" s="5">
        <f t="shared" ref="I6:J6" si="9">E6*E6</f>
        <v>4</v>
      </c>
      <c r="J6" s="9">
        <f t="shared" si="9"/>
        <v>25</v>
      </c>
    </row>
    <row r="7">
      <c r="A7" s="12"/>
    </row>
    <row r="8">
      <c r="F8" s="13" t="s">
        <v>11</v>
      </c>
      <c r="G8" s="14">
        <f>SUM(G2:G6)</f>
        <v>100</v>
      </c>
      <c r="H8" s="15" t="s">
        <v>11</v>
      </c>
      <c r="I8" s="16">
        <f t="shared" ref="I8:J8" si="10">SUM(I2:I6)</f>
        <v>40</v>
      </c>
      <c r="J8" s="16">
        <f t="shared" si="10"/>
        <v>250</v>
      </c>
    </row>
    <row r="9">
      <c r="F9" s="17" t="s">
        <v>12</v>
      </c>
      <c r="G9" s="18">
        <v>5.0</v>
      </c>
      <c r="H9" s="15" t="s">
        <v>13</v>
      </c>
      <c r="I9" s="16">
        <f>I8/G10</f>
        <v>10</v>
      </c>
      <c r="J9" s="16">
        <f>J8/G10</f>
        <v>62.5</v>
      </c>
    </row>
    <row r="10">
      <c r="F10" s="13" t="s">
        <v>14</v>
      </c>
      <c r="G10" s="14">
        <f>G9-1</f>
        <v>4</v>
      </c>
      <c r="H10" s="13" t="s">
        <v>15</v>
      </c>
      <c r="I10" s="19">
        <f>SQRT(I9)</f>
        <v>3.16227766</v>
      </c>
    </row>
    <row r="11">
      <c r="F11" s="20" t="s">
        <v>16</v>
      </c>
      <c r="G11" s="20">
        <f>G8/G10</f>
        <v>25</v>
      </c>
      <c r="H11" s="13" t="s">
        <v>17</v>
      </c>
      <c r="I11" s="19">
        <f>SQRT(J9)</f>
        <v>7.90569415</v>
      </c>
    </row>
    <row r="12">
      <c r="H12" s="20" t="s">
        <v>18</v>
      </c>
      <c r="I12" s="20">
        <f>G11/(I10*I11)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2:C6"/>
    <mergeCell ref="D2:D6"/>
    <mergeCell ref="A7:J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0"/>
    <col customWidth="1" min="3" max="3" width="12.43"/>
    <col customWidth="1" min="4" max="4" width="12.0"/>
    <col customWidth="1" min="5" max="8" width="8.71"/>
    <col customWidth="1" min="9" max="9" width="11.57"/>
    <col customWidth="1" min="10" max="12" width="11.86"/>
    <col customWidth="1" min="13" max="26" width="8.71"/>
  </cols>
  <sheetData>
    <row r="1">
      <c r="A1" s="1" t="s">
        <v>0</v>
      </c>
      <c r="B1" s="1" t="s">
        <v>1</v>
      </c>
      <c r="C1" s="3" t="s">
        <v>3</v>
      </c>
      <c r="D1" s="4" t="s">
        <v>6</v>
      </c>
      <c r="E1" s="2" t="s">
        <v>2</v>
      </c>
      <c r="F1" s="2" t="s">
        <v>4</v>
      </c>
      <c r="G1" s="2" t="s">
        <v>5</v>
      </c>
      <c r="H1" s="2" t="s">
        <v>7</v>
      </c>
      <c r="I1" s="2" t="s">
        <v>8</v>
      </c>
      <c r="K1" s="2" t="s">
        <v>9</v>
      </c>
      <c r="L1" s="2" t="s">
        <v>10</v>
      </c>
    </row>
    <row r="2">
      <c r="A2" s="5">
        <v>2.0</v>
      </c>
      <c r="B2" s="5">
        <v>65.0</v>
      </c>
      <c r="C2" s="6">
        <v>5.0</v>
      </c>
      <c r="D2" s="8">
        <v>5.0</v>
      </c>
      <c r="E2" s="7">
        <f t="shared" ref="E2:F2" si="1">AVERAGE(A2:A6)</f>
        <v>6</v>
      </c>
      <c r="F2" s="7">
        <f t="shared" si="1"/>
        <v>75</v>
      </c>
      <c r="G2" s="5">
        <f t="shared" ref="G2:G6" si="3">A2-$E$2</f>
        <v>-4</v>
      </c>
      <c r="H2" s="5">
        <f t="shared" ref="H2:H6" si="4">B2-$F$2</f>
        <v>-10</v>
      </c>
      <c r="I2" s="5">
        <f t="shared" ref="I2:I6" si="5">G2*H2</f>
        <v>40</v>
      </c>
      <c r="K2" s="5">
        <f t="shared" ref="K2:L2" si="2">G2*G2</f>
        <v>16</v>
      </c>
      <c r="L2" s="9">
        <f t="shared" si="2"/>
        <v>100</v>
      </c>
    </row>
    <row r="3">
      <c r="A3" s="5">
        <v>10.0</v>
      </c>
      <c r="B3" s="5">
        <v>85.0</v>
      </c>
      <c r="C3" s="6">
        <v>1.0</v>
      </c>
      <c r="D3" s="8">
        <v>1.0</v>
      </c>
      <c r="E3" s="10"/>
      <c r="F3" s="10"/>
      <c r="G3" s="5">
        <f t="shared" si="3"/>
        <v>4</v>
      </c>
      <c r="H3" s="5">
        <f t="shared" si="4"/>
        <v>10</v>
      </c>
      <c r="I3" s="5">
        <f t="shared" si="5"/>
        <v>40</v>
      </c>
      <c r="K3" s="5">
        <f t="shared" ref="K3:L3" si="6">G3*G3</f>
        <v>16</v>
      </c>
      <c r="L3" s="9">
        <f t="shared" si="6"/>
        <v>100</v>
      </c>
    </row>
    <row r="4">
      <c r="A4" s="5">
        <v>6.0</v>
      </c>
      <c r="B4" s="5">
        <v>75.0</v>
      </c>
      <c r="C4" s="6">
        <v>3.0</v>
      </c>
      <c r="D4" s="8">
        <v>3.0</v>
      </c>
      <c r="E4" s="10"/>
      <c r="F4" s="10"/>
      <c r="G4" s="5">
        <f t="shared" si="3"/>
        <v>0</v>
      </c>
      <c r="H4" s="5">
        <f t="shared" si="4"/>
        <v>0</v>
      </c>
      <c r="I4" s="5">
        <f t="shared" si="5"/>
        <v>0</v>
      </c>
      <c r="K4" s="5">
        <f t="shared" ref="K4:L4" si="7">G4*G4</f>
        <v>0</v>
      </c>
      <c r="L4" s="9">
        <f t="shared" si="7"/>
        <v>0</v>
      </c>
    </row>
    <row r="5">
      <c r="A5" s="5">
        <v>8.0</v>
      </c>
      <c r="B5" s="5">
        <v>80.0</v>
      </c>
      <c r="C5" s="6">
        <v>2.0</v>
      </c>
      <c r="D5" s="8">
        <v>2.0</v>
      </c>
      <c r="E5" s="10"/>
      <c r="F5" s="10"/>
      <c r="G5" s="5">
        <f t="shared" si="3"/>
        <v>2</v>
      </c>
      <c r="H5" s="5">
        <f t="shared" si="4"/>
        <v>5</v>
      </c>
      <c r="I5" s="5">
        <f t="shared" si="5"/>
        <v>10</v>
      </c>
      <c r="K5" s="5">
        <f t="shared" ref="K5:L5" si="8">G5*G5</f>
        <v>4</v>
      </c>
      <c r="L5" s="9">
        <f t="shared" si="8"/>
        <v>25</v>
      </c>
    </row>
    <row r="6">
      <c r="A6" s="5">
        <v>4.0</v>
      </c>
      <c r="B6" s="5">
        <v>70.0</v>
      </c>
      <c r="C6" s="6">
        <v>4.0</v>
      </c>
      <c r="D6" s="8">
        <v>4.0</v>
      </c>
      <c r="E6" s="11"/>
      <c r="F6" s="11"/>
      <c r="G6" s="5">
        <f t="shared" si="3"/>
        <v>-2</v>
      </c>
      <c r="H6" s="5">
        <f t="shared" si="4"/>
        <v>-5</v>
      </c>
      <c r="I6" s="5">
        <f t="shared" si="5"/>
        <v>10</v>
      </c>
      <c r="K6" s="5">
        <f t="shared" ref="K6:L6" si="9">G6*G6</f>
        <v>4</v>
      </c>
      <c r="L6" s="9">
        <f t="shared" si="9"/>
        <v>25</v>
      </c>
    </row>
    <row r="7">
      <c r="A7" s="12"/>
    </row>
    <row r="8">
      <c r="H8" s="13" t="s">
        <v>11</v>
      </c>
      <c r="I8" s="14">
        <f>SUM(I2:I6)</f>
        <v>100</v>
      </c>
      <c r="J8" s="15" t="s">
        <v>11</v>
      </c>
      <c r="K8" s="16">
        <f t="shared" ref="K8:L8" si="10">SUM(K2:K6)</f>
        <v>40</v>
      </c>
      <c r="L8" s="16">
        <f t="shared" si="10"/>
        <v>250</v>
      </c>
    </row>
    <row r="9">
      <c r="H9" s="17" t="s">
        <v>12</v>
      </c>
      <c r="I9" s="18">
        <v>5.0</v>
      </c>
      <c r="J9" s="15" t="s">
        <v>13</v>
      </c>
      <c r="K9" s="16">
        <f>K8/I10</f>
        <v>10</v>
      </c>
      <c r="L9" s="16">
        <f>L8/I10</f>
        <v>62.5</v>
      </c>
    </row>
    <row r="10">
      <c r="H10" s="13" t="s">
        <v>14</v>
      </c>
      <c r="I10" s="14">
        <f>I9-1</f>
        <v>4</v>
      </c>
      <c r="J10" s="13" t="s">
        <v>15</v>
      </c>
      <c r="K10" s="19">
        <f>SQRT(K9)</f>
        <v>3.16227766</v>
      </c>
    </row>
    <row r="11">
      <c r="H11" s="20" t="s">
        <v>16</v>
      </c>
      <c r="I11" s="20">
        <f>I8/I10</f>
        <v>25</v>
      </c>
      <c r="J11" s="13" t="s">
        <v>17</v>
      </c>
      <c r="K11" s="19">
        <f>SQRT(L9)</f>
        <v>7.90569415</v>
      </c>
    </row>
    <row r="12">
      <c r="J12" s="20" t="s">
        <v>18</v>
      </c>
      <c r="K12" s="20">
        <f>I11/(K10*K11)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2:E6"/>
    <mergeCell ref="F2:F6"/>
    <mergeCell ref="A7:L7"/>
  </mergeCells>
  <printOptions/>
  <pageMargins bottom="0.75" footer="0.0" header="0.0" left="0.7" right="0.7" top="0.75"/>
  <pageSetup orientation="landscape"/>
  <drawing r:id="rId1"/>
</worksheet>
</file>